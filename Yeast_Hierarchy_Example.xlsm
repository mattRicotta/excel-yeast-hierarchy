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178e432c6e43d7/Desktop/"/>
    </mc:Choice>
  </mc:AlternateContent>
  <xr:revisionPtr revIDLastSave="695" documentId="8_{6DC529D7-50D4-425C-A501-CF7C5D714B3D}" xr6:coauthVersionLast="46" xr6:coauthVersionMax="46" xr10:uidLastSave="{8F869A70-045D-4AD9-B448-EBF1030E6A6C}"/>
  <bookViews>
    <workbookView xWindow="28680" yWindow="-120" windowWidth="29040" windowHeight="15840" xr2:uid="{00000000-000D-0000-FFFF-FFFF00000000}"/>
  </bookViews>
  <sheets>
    <sheet name="Sheet1" sheetId="1" r:id="rId1"/>
  </sheets>
  <definedNames>
    <definedName name="SelectedYeast">Sheet1!$I$2</definedName>
    <definedName name="YeastLineage">Sheet1!$I$5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E8" i="1"/>
  <c r="E11" i="1" s="1"/>
  <c r="E2" i="1"/>
  <c r="E3" i="1" s="1"/>
  <c r="E4" i="1" s="1"/>
  <c r="E5" i="1" s="1"/>
  <c r="E7" i="1" s="1"/>
  <c r="E10" i="1" s="1"/>
  <c r="J2" i="1" s="1"/>
  <c r="E6" i="1"/>
  <c r="E9" i="1" s="1"/>
</calcChain>
</file>

<file path=xl/sharedStrings.xml><?xml version="1.0" encoding="utf-8"?>
<sst xmlns="http://schemas.openxmlformats.org/spreadsheetml/2006/main" count="36" uniqueCount="20">
  <si>
    <t>ID</t>
  </si>
  <si>
    <t>Record_Name</t>
  </si>
  <si>
    <t>Parent_ID</t>
  </si>
  <si>
    <t>Strain</t>
  </si>
  <si>
    <t>Generation</t>
  </si>
  <si>
    <t>Ale Yeast</t>
  </si>
  <si>
    <t>Ale</t>
  </si>
  <si>
    <t>Lager Yeast</t>
  </si>
  <si>
    <t>Lager</t>
  </si>
  <si>
    <t>Select Yeast:</t>
  </si>
  <si>
    <t>Full_Name</t>
  </si>
  <si>
    <t>Lineage:</t>
  </si>
  <si>
    <t>Y-000003 Ale Yeast / 2</t>
  </si>
  <si>
    <t>Y-000002 Ale Yeast / 1</t>
  </si>
  <si>
    <t>Y-000001 Ale Yeast / 0</t>
  </si>
  <si>
    <t>Y-000004 Ale Yeast / 3</t>
  </si>
  <si>
    <t>Gen 2</t>
  </si>
  <si>
    <t>Gen 1</t>
  </si>
  <si>
    <t>Gen 0</t>
  </si>
  <si>
    <t>Gen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</si>
</sst>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Y-&quot;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4">
    <dxf>
      <numFmt numFmtId="164" formatCode="&quot;Y-&quot;000000"/>
      <alignment horizontal="left" vertical="bottom" textRotation="0" wrapText="0" indent="0" justifyLastLine="0" shrinkToFit="0" readingOrder="0"/>
    </dxf>
    <dxf>
      <numFmt numFmtId="0" formatCode="General"/>
    </dxf>
    <dxf>
      <numFmt numFmtId="164" formatCode="&quot;Y-&quot;000000"/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7C8297-6232-476E-8BEF-7204366078E6}" name="Table1" displayName="Table1" ref="A1:F11" totalsRowShown="0">
  <autoFilter ref="A1:F11" xr:uid="{17FCD9E8-ACE8-4DEA-8A7A-B47E863A9A4E}"/>
  <tableColumns count="6">
    <tableColumn id="1" xr3:uid="{161482B2-3287-49EC-879C-3B477434DEBA}" name="ID" dataDxfId="2"/>
    <tableColumn id="2" xr3:uid="{D960DD5D-7781-4534-BD18-39585D3C0D24}" name="Record_Name"/>
    <tableColumn id="3" xr3:uid="{D8B5D1DF-8EE7-4974-8000-155691C55CB1}" name="Strain"/>
    <tableColumn id="6" xr3:uid="{ADC2F664-A317-441C-8BBA-823CB99AA1D2}" name="Parent_ID" dataDxfId="0"/>
    <tableColumn id="5" xr3:uid="{8DAB0DB0-07F1-4606-A152-92D2CEB3EBF4}" name="Generation" dataDxfId="1">
      <calculatedColumnFormula>IF(ISBLANK(Table1[[#This Row],[Parent_ID]]),0,INDEX(Table1[Generation],MATCH(Table1[[#This Row],[Parent_ID]],Table1[ID],0))+1)</calculatedColumnFormula>
    </tableColumn>
    <tableColumn id="7" xr3:uid="{6D5465EA-4E7B-49EB-A4D2-64BB51F8FEF3}" name="Full_Name" dataDxfId="3">
      <calculatedColumnFormula>"Y-" &amp; TEXT(Table1[[#This Row],[ID]],"000000") &amp; " " &amp; Table1[[#This Row],[Record_Name]] &amp; " / " &amp; Table1[[#This Row],[Generation]]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"/>
  <sheetViews>
    <sheetView tabSelected="1" workbookViewId="0">
      <selection activeCell="I15" sqref="I15"/>
    </sheetView>
  </sheetViews>
  <sheetFormatPr defaultRowHeight="15" x14ac:dyDescent="0.25"/>
  <cols>
    <col min="1" max="1" width="11.5703125" customWidth="1"/>
    <col min="2" max="2" width="15.5703125" customWidth="1"/>
    <col min="3" max="3" width="13.5703125" customWidth="1"/>
    <col min="4" max="4" width="11.85546875" customWidth="1"/>
    <col min="5" max="5" width="13.85546875" bestFit="1" customWidth="1"/>
    <col min="6" max="6" width="21.7109375" bestFit="1" customWidth="1"/>
    <col min="9" max="9" width="12.140625" style="2" bestFit="1" customWidth="1"/>
    <col min="10" max="10" width="20.28515625" bestFit="1" customWidth="1"/>
    <col min="11" max="11" width="11" bestFit="1" customWidth="1"/>
  </cols>
  <sheetData>
    <row r="1" spans="1:10" x14ac:dyDescent="0.25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10</v>
      </c>
      <c r="I1" s="3" t="s">
        <v>9</v>
      </c>
    </row>
    <row r="2" spans="1:10" x14ac:dyDescent="0.25">
      <c r="A2" s="4">
        <v>1</v>
      </c>
      <c r="B2" t="s">
        <v>5</v>
      </c>
      <c r="C2" t="s">
        <v>6</v>
      </c>
      <c r="D2" s="4"/>
      <c r="E2">
        <f>IF(ISBLANK(Table1[[#This Row],[Parent_ID]]),0,INDEX(Table1[Generation],MATCH(Table1[[#This Row],[Parent_ID]],Table1[ID],0))+1)</f>
        <v>0</v>
      </c>
      <c r="F2" t="str">
        <f>"Y-" &amp; TEXT(Table1[[#This Row],[ID]],"000000") &amp; " " &amp; Table1[[#This Row],[Record_Name]] &amp; " / " &amp; Table1[[#This Row],[Generation]]</f>
        <v>Y-000001 Ale Yeast / 0</v>
      </c>
      <c r="I2" s="4">
        <v>6</v>
      </c>
      <c r="J2" t="str">
        <f>INDEX(Table1[Full_Name],MATCH(I2,Table1[ID],0))</f>
        <v>Y-000006 Ale Yeast / 4</v>
      </c>
    </row>
    <row r="3" spans="1:10" x14ac:dyDescent="0.25">
      <c r="A3" s="4">
        <v>2</v>
      </c>
      <c r="B3" t="s">
        <v>5</v>
      </c>
      <c r="C3" t="s">
        <v>6</v>
      </c>
      <c r="D3" s="4">
        <v>1</v>
      </c>
      <c r="E3">
        <f>IF(ISBLANK(Table1[[#This Row],[Parent_ID]]),0,INDEX(Table1[Generation],MATCH(Table1[[#This Row],[Parent_ID]],Table1[ID],0))+1)</f>
        <v>1</v>
      </c>
      <c r="F3" t="str">
        <f>"Y-" &amp; TEXT(Table1[[#This Row],[ID]],"000000") &amp; " " &amp; Table1[[#This Row],[Record_Name]] &amp; " / " &amp; Table1[[#This Row],[Generation]]</f>
        <v>Y-000002 Ale Yeast / 1</v>
      </c>
    </row>
    <row r="4" spans="1:10" x14ac:dyDescent="0.25">
      <c r="A4" s="4">
        <v>3</v>
      </c>
      <c r="B4" t="s">
        <v>5</v>
      </c>
      <c r="C4" t="s">
        <v>6</v>
      </c>
      <c r="D4" s="4">
        <v>2</v>
      </c>
      <c r="E4">
        <f>IF(ISBLANK(Table1[[#This Row],[Parent_ID]]),0,INDEX(Table1[Generation],MATCH(Table1[[#This Row],[Parent_ID]],Table1[ID],0))+1)</f>
        <v>2</v>
      </c>
      <c r="F4" t="str">
        <f>"Y-" &amp; TEXT(Table1[[#This Row],[ID]],"000000") &amp; " " &amp; Table1[[#This Row],[Record_Name]] &amp; " / " &amp; Table1[[#This Row],[Generation]]</f>
        <v>Y-000003 Ale Yeast / 2</v>
      </c>
      <c r="I4" s="3" t="s">
        <v>11</v>
      </c>
    </row>
    <row r="5" spans="1:10" x14ac:dyDescent="0.25">
      <c r="A5" s="4">
        <v>4</v>
      </c>
      <c r="B5" t="s">
        <v>5</v>
      </c>
      <c r="C5" t="s">
        <v>6</v>
      </c>
      <c r="D5" s="4">
        <v>3</v>
      </c>
      <c r="E5">
        <f>IF(ISBLANK(Table1[[#This Row],[Parent_ID]]),0,INDEX(Table1[Generation],MATCH(Table1[[#This Row],[Parent_ID]],Table1[ID],0))+1)</f>
        <v>3</v>
      </c>
      <c r="F5" t="str">
        <f>"Y-" &amp; TEXT(Table1[[#This Row],[ID]],"000000") &amp; " " &amp; Table1[[#This Row],[Record_Name]] &amp; " / " &amp; Table1[[#This Row],[Generation]]</f>
        <v>Y-000004 Ale Yeast / 3</v>
      </c>
      <c r="I5" t="s">
        <v>19</v>
      </c>
      <c r="J5" t="s">
        <v>15</v>
      </c>
    </row>
    <row r="6" spans="1:10" x14ac:dyDescent="0.25">
      <c r="A6" s="4">
        <v>5</v>
      </c>
      <c r="B6" t="s">
        <v>5</v>
      </c>
      <c r="C6" t="s">
        <v>6</v>
      </c>
      <c r="D6" s="4"/>
      <c r="E6">
        <f>IF(ISBLANK(Table1[[#This Row],[Parent_ID]]),0,INDEX(Table1[Generation],MATCH(Table1[[#This Row],[Parent_ID]],Table1[ID],0))+1)</f>
        <v>0</v>
      </c>
      <c r="F6" t="str">
        <f>"Y-" &amp; TEXT(Table1[[#This Row],[ID]],"000000") &amp; " " &amp; Table1[[#This Row],[Record_Name]] &amp; " / " &amp; Table1[[#This Row],[Generation]]</f>
        <v>Y-000005 Ale Yeast / 0</v>
      </c>
      <c r="I6" t="s">
        <v>16</v>
      </c>
      <c r="J6" t="s">
        <v>12</v>
      </c>
    </row>
    <row r="7" spans="1:10" x14ac:dyDescent="0.25">
      <c r="A7" s="4">
        <v>6</v>
      </c>
      <c r="B7" t="s">
        <v>5</v>
      </c>
      <c r="C7" t="s">
        <v>6</v>
      </c>
      <c r="D7" s="4">
        <v>4</v>
      </c>
      <c r="E7">
        <f>IF(ISBLANK(Table1[[#This Row],[Parent_ID]]),0,INDEX(Table1[Generation],MATCH(Table1[[#This Row],[Parent_ID]],Table1[ID],0))+1)</f>
        <v>4</v>
      </c>
      <c r="F7" t="str">
        <f>"Y-" &amp; TEXT(Table1[[#This Row],[ID]],"000000") &amp; " " &amp; Table1[[#This Row],[Record_Name]] &amp; " / " &amp; Table1[[#This Row],[Generation]]</f>
        <v>Y-000006 Ale Yeast / 4</v>
      </c>
      <c r="I7" t="s">
        <v>17</v>
      </c>
      <c r="J7" t="s">
        <v>13</v>
      </c>
    </row>
    <row r="8" spans="1:10" x14ac:dyDescent="0.25">
      <c r="A8" s="4">
        <v>7</v>
      </c>
      <c r="B8" t="s">
        <v>7</v>
      </c>
      <c r="C8" t="s">
        <v>8</v>
      </c>
      <c r="D8" s="4"/>
      <c r="E8" s="1">
        <f>IF(ISBLANK(Table1[[#This Row],[Parent_ID]]),0,INDEX(Table1[Generation],MATCH(Table1[[#This Row],[Parent_ID]],Table1[ID],0))+1)</f>
        <v>0</v>
      </c>
      <c r="F8" t="str">
        <f>"Y-" &amp; TEXT(Table1[[#This Row],[ID]],"000000") &amp; " " &amp; Table1[[#This Row],[Record_Name]] &amp; " / " &amp; Table1[[#This Row],[Generation]]</f>
        <v>Y-000007 Lager Yeast / 0</v>
      </c>
      <c r="I8" t="s">
        <v>18</v>
      </c>
      <c r="J8" t="s">
        <v>14</v>
      </c>
    </row>
    <row r="9" spans="1:10" x14ac:dyDescent="0.25">
      <c r="A9" s="4">
        <v>8</v>
      </c>
      <c r="B9" t="s">
        <v>5</v>
      </c>
      <c r="C9" t="s">
        <v>6</v>
      </c>
      <c r="D9" s="4">
        <v>5</v>
      </c>
      <c r="E9" s="1">
        <f>IF(ISBLANK(Table1[[#This Row],[Parent_ID]]),0,INDEX(Table1[Generation],MATCH(Table1[[#This Row],[Parent_ID]],Table1[ID],0))+1)</f>
        <v>1</v>
      </c>
      <c r="F9" t="str">
        <f>"Y-" &amp; TEXT(Table1[[#This Row],[ID]],"000000") &amp; " " &amp; Table1[[#This Row],[Record_Name]] &amp; " / " &amp; Table1[[#This Row],[Generation]]</f>
        <v>Y-000008 Ale Yeast / 1</v>
      </c>
      <c r="I9"/>
    </row>
    <row r="10" spans="1:10" x14ac:dyDescent="0.25">
      <c r="A10" s="4">
        <v>9</v>
      </c>
      <c r="B10" t="s">
        <v>5</v>
      </c>
      <c r="C10" t="s">
        <v>6</v>
      </c>
      <c r="D10" s="4">
        <v>6</v>
      </c>
      <c r="E10" s="1">
        <f>IF(ISBLANK(Table1[[#This Row],[Parent_ID]]),0,INDEX(Table1[Generation],MATCH(Table1[[#This Row],[Parent_ID]],Table1[ID],0))+1)</f>
        <v>5</v>
      </c>
      <c r="F10" t="str">
        <f>"Y-" &amp; TEXT(Table1[[#This Row],[ID]],"000000") &amp; " " &amp; Table1[[#This Row],[Record_Name]] &amp; " / " &amp; Table1[[#This Row],[Generation]]</f>
        <v>Y-000009 Ale Yeast / 5</v>
      </c>
    </row>
    <row r="11" spans="1:10" x14ac:dyDescent="0.25">
      <c r="A11" s="4">
        <v>10</v>
      </c>
      <c r="B11" t="s">
        <v>7</v>
      </c>
      <c r="C11" t="s">
        <v>8</v>
      </c>
      <c r="D11" s="4">
        <v>7</v>
      </c>
      <c r="E11" s="1">
        <f>IF(ISBLANK(Table1[[#This Row],[Parent_ID]]),0,INDEX(Table1[Generation],MATCH(Table1[[#This Row],[Parent_ID]],Table1[ID],0))+1)</f>
        <v>1</v>
      </c>
      <c r="F11" t="str">
        <f>"Y-" &amp; TEXT(Table1[[#This Row],[ID]],"000000") &amp; " " &amp; Table1[[#This Row],[Record_Name]] &amp; " / " &amp; Table1[[#This Row],[Generation]]</f>
        <v>Y-000010 Lager Yeast / 1</v>
      </c>
    </row>
  </sheetData>
  <dataValidations count="1">
    <dataValidation type="list" allowBlank="1" showInputMessage="1" showErrorMessage="1" sqref="D2:D11 I2" xr:uid="{319F8784-7F58-425C-8340-B49A91974036}">
      <formula1>$A$2:$A$11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SelectedYeast</vt:lpstr>
      <vt:lpstr>YeastLineage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Licata</dc:creator>
  <cp:lastModifiedBy>Matthew Licata</cp:lastModifiedBy>
  <dcterms:created xsi:type="dcterms:W3CDTF">2015-06-05T18:17:20Z</dcterms:created>
  <dcterms:modified xsi:type="dcterms:W3CDTF">2021-03-04T20:16:13Z</dcterms:modified>
</cp:coreProperties>
</file>